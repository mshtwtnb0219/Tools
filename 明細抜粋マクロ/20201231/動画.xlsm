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F22CD243-2C91-462E-9D21-C20E3A375421}" xr6:coauthVersionLast="45" xr6:coauthVersionMax="45" xr10:uidLastSave="{00000000-0000-0000-0000-000000000000}"/>
  <bookViews>
    <workbookView xWindow="4500" yWindow="705" windowWidth="14730" windowHeight="11310" activeTab="4" xr2:uid="{00000000-000D-0000-FFFF-FFFF00000000}"/>
  </bookViews>
  <sheets>
    <sheet name="登録" sheetId="1" r:id="rId1"/>
    <sheet name="一覧" sheetId="2" r:id="rId2"/>
    <sheet name="商品" sheetId="4" r:id="rId3"/>
    <sheet name="雛形" sheetId="3" r:id="rId4"/>
    <sheet name="株式会社A" sheetId="23" r:id="rId5"/>
  </sheets>
  <definedNames>
    <definedName name="商品" localSheetId="4">テーブル1[商品]</definedName>
    <definedName name="商品">テーブル1[商品]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23" l="1"/>
  <c r="G17" i="23"/>
  <c r="G16" i="23"/>
  <c r="G15" i="23"/>
  <c r="G14" i="23"/>
  <c r="G13" i="23"/>
  <c r="G12" i="23"/>
  <c r="G11" i="23"/>
  <c r="G10" i="23"/>
  <c r="G19" i="23" l="1"/>
  <c r="G21" i="23" s="1"/>
  <c r="E5" i="2"/>
  <c r="E6" i="2"/>
  <c r="E7" i="2"/>
  <c r="E8" i="2"/>
  <c r="E9" i="2"/>
  <c r="E4" i="2"/>
  <c r="G10" i="3"/>
  <c r="G11" i="3"/>
  <c r="G12" i="3"/>
  <c r="G13" i="3"/>
  <c r="G14" i="3"/>
  <c r="G15" i="3"/>
  <c r="G16" i="3"/>
  <c r="G17" i="3"/>
  <c r="G18" i="3"/>
  <c r="G19" i="3" l="1"/>
  <c r="G21" i="3" s="1"/>
</calcChain>
</file>

<file path=xl/sharedStrings.xml><?xml version="1.0" encoding="utf-8"?>
<sst xmlns="http://schemas.openxmlformats.org/spreadsheetml/2006/main" count="66" uniqueCount="42">
  <si>
    <t>売上登録</t>
    <rPh sb="0" eb="2">
      <t>ウリアゲ</t>
    </rPh>
    <rPh sb="2" eb="4">
      <t>トウロク</t>
    </rPh>
    <phoneticPr fontId="2"/>
  </si>
  <si>
    <t>売上一覧</t>
    <rPh sb="0" eb="2">
      <t>ウリアゲ</t>
    </rPh>
    <rPh sb="2" eb="4">
      <t>イチラン</t>
    </rPh>
    <phoneticPr fontId="2"/>
  </si>
  <si>
    <t>合計金額</t>
    <rPh sb="0" eb="2">
      <t>ゴウケイ</t>
    </rPh>
    <rPh sb="2" eb="4">
      <t>キンガク</t>
    </rPh>
    <phoneticPr fontId="2"/>
  </si>
  <si>
    <t>消費税</t>
    <rPh sb="0" eb="3">
      <t>ショウヒゼイ</t>
    </rPh>
    <phoneticPr fontId="2"/>
  </si>
  <si>
    <t>小計</t>
    <rPh sb="0" eb="2">
      <t>ショウケイ</t>
    </rPh>
    <phoneticPr fontId="2"/>
  </si>
  <si>
    <t>金額</t>
    <rPh sb="0" eb="2">
      <t>キンガク</t>
    </rPh>
    <phoneticPr fontId="2"/>
  </si>
  <si>
    <t>数量</t>
    <rPh sb="0" eb="2">
      <t>スウリョウ</t>
    </rPh>
    <phoneticPr fontId="2"/>
  </si>
  <si>
    <t>単価</t>
    <rPh sb="0" eb="2">
      <t>タンカ</t>
    </rPh>
    <phoneticPr fontId="2"/>
  </si>
  <si>
    <t>商品</t>
    <rPh sb="0" eb="2">
      <t>ショウヒン</t>
    </rPh>
    <phoneticPr fontId="2"/>
  </si>
  <si>
    <t>住所:</t>
    <rPh sb="0" eb="2">
      <t>ジュウショ</t>
    </rPh>
    <phoneticPr fontId="2"/>
  </si>
  <si>
    <t>郵便番号:</t>
    <rPh sb="0" eb="4">
      <t>ユウビンバンゴウ</t>
    </rPh>
    <phoneticPr fontId="2"/>
  </si>
  <si>
    <t>日付:</t>
    <rPh sb="0" eb="2">
      <t>ヒヅケ</t>
    </rPh>
    <phoneticPr fontId="2"/>
  </si>
  <si>
    <t>請求書番号:</t>
    <rPh sb="0" eb="3">
      <t>セイキュウショ</t>
    </rPh>
    <rPh sb="3" eb="5">
      <t>バンゴウ</t>
    </rPh>
    <phoneticPr fontId="2"/>
  </si>
  <si>
    <t>請求書</t>
    <rPh sb="0" eb="3">
      <t>セイキュウショ</t>
    </rPh>
    <phoneticPr fontId="2"/>
  </si>
  <si>
    <t>会社名</t>
    <rPh sb="0" eb="3">
      <t>カイシャメイ</t>
    </rPh>
    <phoneticPr fontId="2"/>
  </si>
  <si>
    <t>商品</t>
    <rPh sb="0" eb="2">
      <t>ショウヒン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</si>
  <si>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</si>
  <si>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</si>
  <si>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</si>
  <si>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会社名</t>
    <rPh sb="0" eb="3">
      <t>カイシャメイ</t>
    </rPh>
    <phoneticPr fontId="2"/>
  </si>
  <si>
    <t>商品名</t>
    <rPh sb="0" eb="3">
      <t>ショウヒンメイ</t>
    </rPh>
    <phoneticPr fontId="2"/>
  </si>
  <si>
    <t>数量</t>
    <rPh sb="0" eb="2">
      <t>スウリョウ</t>
    </rPh>
    <phoneticPr fontId="2"/>
  </si>
  <si>
    <t>パソコン</t>
  </si>
  <si>
    <t>会社名一覧</t>
    <rPh sb="0" eb="3">
      <t>カイシャメイ</t>
    </rPh>
    <rPh sb="3" eb="5">
      <t>イチラン</t>
    </rPh>
    <phoneticPr fontId="2"/>
  </si>
  <si>
    <t>株式会社A</t>
  </si>
  <si>
    <t>株式会社A</t>
    <rPh sb="0" eb="2">
      <t>カブシキ</t>
    </rPh>
    <rPh sb="2" eb="4">
      <t>ガイシャ</t>
    </rPh>
    <phoneticPr fontId="2"/>
  </si>
  <si>
    <t>株式会社B</t>
    <rPh sb="0" eb="2">
      <t>カブシキ</t>
    </rPh>
    <rPh sb="2" eb="4">
      <t>ガイシャ</t>
    </rPh>
    <phoneticPr fontId="2"/>
  </si>
  <si>
    <t>株式会社C</t>
    <rPh sb="0" eb="2">
      <t>カブシキ</t>
    </rPh>
    <rPh sb="2" eb="4">
      <t>ガイシャ</t>
    </rPh>
    <phoneticPr fontId="2"/>
  </si>
  <si>
    <t>株式会社D</t>
    <rPh sb="0" eb="4">
      <t>カブシキガイシャ</t>
    </rPh>
    <phoneticPr fontId="2"/>
  </si>
  <si>
    <t>発行先会社名</t>
    <rPh sb="0" eb="2">
      <t>ハッコウ</t>
    </rPh>
    <rPh sb="2" eb="3">
      <t>サキ</t>
    </rPh>
    <rPh sb="3" eb="6">
      <t>カイシャメイ</t>
    </rPh>
    <phoneticPr fontId="2"/>
  </si>
  <si>
    <t>パソコン</t>
    <phoneticPr fontId="2"/>
  </si>
  <si>
    <t>マウス</t>
  </si>
  <si>
    <t>マウス</t>
    <phoneticPr fontId="2"/>
  </si>
  <si>
    <t>キーボード</t>
    <phoneticPr fontId="2"/>
  </si>
  <si>
    <t>ペン</t>
  </si>
  <si>
    <t>ペン</t>
    <phoneticPr fontId="2"/>
  </si>
  <si>
    <t>株式会社A</t>
    <rPh sb="0" eb="4">
      <t>カブシキガイシャ</t>
    </rPh>
    <phoneticPr fontId="2"/>
  </si>
  <si>
    <t>株式会社A</t>
    <phoneticPr fontId="2"/>
  </si>
  <si>
    <t>保存先名↓</t>
    <rPh sb="0" eb="2">
      <t>ホゾン</t>
    </rPh>
    <rPh sb="2" eb="3">
      <t>サキ</t>
    </rPh>
    <rPh sb="3" eb="4">
      <t>メイ</t>
    </rPh>
    <phoneticPr fontId="2"/>
  </si>
  <si>
    <t>aaa</t>
    <phoneticPr fontId="2"/>
  </si>
  <si>
    <t>株式会社A</t>
    <phoneticPr fontId="2"/>
  </si>
  <si>
    <t>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</si>
</sst>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¥&quot;#,##0.00;&quot;¥&quot;\-#,##0.00"/>
    <numFmt numFmtId="176" formatCode="&quot;¥&quot;#,##0_);[Red]\(&quot;¥&quot;#,##0\)"/>
  </numFmts>
  <fonts count="1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1"/>
      <name val="Yu Gothic"/>
      <family val="2"/>
      <scheme val="minor"/>
    </font>
    <font>
      <sz val="11"/>
      <color rgb="FFFF0000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b/>
      <sz val="18"/>
      <color theme="1"/>
      <name val="Yu Gothic"/>
      <family val="3"/>
      <charset val="128"/>
      <scheme val="minor"/>
    </font>
    <font>
      <sz val="11"/>
      <color theme="0"/>
      <name val="Yu Gothic"/>
      <family val="3"/>
      <charset val="128"/>
      <scheme val="minor"/>
    </font>
    <font>
      <sz val="11"/>
      <color theme="0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</cellStyleXfs>
  <cellXfs count="29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5" fillId="3" borderId="1" xfId="0" applyFont="1" applyFill="1" applyBorder="1"/>
    <xf numFmtId="9" fontId="0" fillId="0" borderId="1" xfId="1" applyFont="1" applyBorder="1" applyAlignment="1"/>
    <xf numFmtId="0" fontId="6" fillId="3" borderId="1" xfId="0" applyFont="1" applyFill="1" applyBorder="1"/>
    <xf numFmtId="0" fontId="0" fillId="0" borderId="0" xfId="0"/>
    <xf numFmtId="176" fontId="0" fillId="0" borderId="1" xfId="0" applyNumberFormat="1" applyBorder="1"/>
    <xf numFmtId="0" fontId="0" fillId="0" borderId="1" xfId="0" applyBorder="1"/>
    <xf numFmtId="0" fontId="1" fillId="2" borderId="1" xfId="2" applyBorder="1" applyAlignment="1">
      <alignment horizontal="center"/>
    </xf>
    <xf numFmtId="0" fontId="1" fillId="2" borderId="1" xfId="2" applyBorder="1" applyAlignment="1">
      <alignment horizontal="center" vertical="center"/>
    </xf>
    <xf numFmtId="0" fontId="1" fillId="2" borderId="1" xfId="2" applyBorder="1" applyAlignment="1">
      <alignment horizontal="center"/>
    </xf>
    <xf numFmtId="0" fontId="0" fillId="0" borderId="0" xfId="0" applyAlignment="1">
      <alignment horizontal="right"/>
    </xf>
    <xf numFmtId="0" fontId="8" fillId="4" borderId="1" xfId="0" applyFont="1" applyFill="1" applyBorder="1"/>
    <xf numFmtId="0" fontId="0" fillId="0" borderId="1" xfId="0" applyBorder="1" applyAlignment="1">
      <alignment horizontal="right"/>
    </xf>
    <xf numFmtId="7" fontId="0" fillId="0" borderId="1" xfId="0" applyNumberFormat="1" applyBorder="1"/>
    <xf numFmtId="14" fontId="0" fillId="0" borderId="0" xfId="0" applyNumberFormat="1"/>
    <xf numFmtId="7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1" xfId="2" applyBorder="1" applyAlignment="1">
      <alignment horizontal="center"/>
    </xf>
    <xf numFmtId="0" fontId="0" fillId="0" borderId="1" xfId="0" applyBorder="1"/>
    <xf numFmtId="0" fontId="0" fillId="0" borderId="0" xfId="0"/>
  </cellXfs>
  <cellStyles count="3">
    <cellStyle name="60% - アクセント 1" xfId="2" builtinId="32"/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2</xdr:row>
          <xdr:rowOff>171450</xdr:rowOff>
        </xdr:from>
        <xdr:to>
          <xdr:col>5</xdr:col>
          <xdr:colOff>628650</xdr:colOff>
          <xdr:row>3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売上登録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2</xdr:row>
          <xdr:rowOff>66675</xdr:rowOff>
        </xdr:from>
        <xdr:to>
          <xdr:col>10</xdr:col>
          <xdr:colOff>95250</xdr:colOff>
          <xdr:row>3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請求書発行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31F671-1582-4137-B28E-8125B6447526}" name="テーブル1" displayName="テーブル1" ref="A1:A5" totalsRowShown="0">
  <autoFilter ref="A1:A5" xr:uid="{E3A84E47-958F-4A37-A264-D2543F0DDFD3}"/>
  <tableColumns count="1">
    <tableColumn id="1" xr3:uid="{3A61AA41-C0C3-46C5-86E4-68DFD61D9C96}" name="商品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6"/>
  <sheetViews>
    <sheetView workbookViewId="0">
      <selection activeCell="B7" sqref="B7"/>
    </sheetView>
  </sheetViews>
  <sheetFormatPr defaultRowHeight="18.75"/>
  <cols>
    <col min="1" max="2" width="20.125" customWidth="1"/>
  </cols>
  <sheetData>
    <row r="1" spans="1:2">
      <c r="A1" s="18" t="s">
        <v>0</v>
      </c>
      <c r="B1" s="18"/>
    </row>
    <row r="3" spans="1:2">
      <c r="A3" s="13" t="s">
        <v>19</v>
      </c>
      <c r="B3" s="1" t="s">
        <v>25</v>
      </c>
    </row>
    <row r="4" spans="1:2">
      <c r="A4" s="13" t="s">
        <v>20</v>
      </c>
      <c r="B4" s="14" t="s">
        <v>22</v>
      </c>
    </row>
    <row r="5" spans="1:2">
      <c r="A5" s="13" t="s">
        <v>16</v>
      </c>
      <c r="B5" s="7">
        <v>400</v>
      </c>
    </row>
    <row r="6" spans="1:2">
      <c r="A6" s="13" t="s">
        <v>21</v>
      </c>
      <c r="B6" s="1">
        <v>200</v>
      </c>
    </row>
  </sheetData>
  <mergeCells count="1">
    <mergeCell ref="A1:B1"/>
  </mergeCells>
  <phoneticPr fontId="2"/>
  <dataValidations count="1">
    <dataValidation type="list" allowBlank="1" showInputMessage="1" showErrorMessage="1" sqref="B4" xr:uid="{4F5FB4D5-1FAF-4308-86AB-A606881E2405}">
      <formula1>商品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売上登録">
                <anchor moveWithCells="1">
                  <from>
                    <xdr:col>3</xdr:col>
                    <xdr:colOff>514350</xdr:colOff>
                    <xdr:row>2</xdr:row>
                    <xdr:rowOff>171450</xdr:rowOff>
                  </from>
                  <to>
                    <xdr:col>5</xdr:col>
                    <xdr:colOff>628650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9C5A8C9-423A-4B98-AC9B-D4D6917E309E}">
          <x14:formula1>
            <xm:f>一覧!$G$7:$G$10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C482A-4EEA-412E-AF28-8BB4AAFDA214}">
  <sheetPr codeName="Sheet2"/>
  <dimension ref="A1:J10"/>
  <sheetViews>
    <sheetView workbookViewId="0">
      <selection activeCell="B10" sqref="B10"/>
    </sheetView>
  </sheetViews>
  <sheetFormatPr defaultRowHeight="18.75"/>
  <cols>
    <col min="1" max="1" width="19.75" customWidth="1"/>
    <col min="2" max="2" width="16.5" customWidth="1"/>
    <col min="5" max="5" width="21.875" customWidth="1"/>
    <col min="6" max="6" width="1.25" customWidth="1"/>
    <col min="7" max="7" width="17.875" customWidth="1"/>
  </cols>
  <sheetData>
    <row r="1" spans="1:10">
      <c r="A1" s="19" t="s">
        <v>1</v>
      </c>
      <c r="B1" s="19"/>
      <c r="C1" s="19"/>
      <c r="D1" s="19"/>
      <c r="E1" s="19"/>
    </row>
    <row r="3" spans="1:10">
      <c r="A3" s="13" t="s">
        <v>14</v>
      </c>
      <c r="B3" s="13" t="s">
        <v>15</v>
      </c>
      <c r="C3" s="13" t="s">
        <v>16</v>
      </c>
      <c r="D3" s="13" t="s">
        <v>17</v>
      </c>
      <c r="E3" s="13" t="s">
        <v>18</v>
      </c>
      <c r="G3" s="13" t="s">
        <v>29</v>
      </c>
    </row>
    <row r="4" spans="1:10">
      <c r="A4" s="2" t="s">
        <v>37</v>
      </c>
      <c r="B4" s="1" t="s">
        <v>34</v>
      </c>
      <c r="C4" s="7">
        <v>20</v>
      </c>
      <c r="D4" s="1">
        <v>100</v>
      </c>
      <c r="E4" s="7">
        <f>C4*D4</f>
        <v>2000</v>
      </c>
      <c r="G4" s="1" t="s">
        <v>36</v>
      </c>
    </row>
    <row r="5" spans="1:10">
      <c r="A5" s="2" t="s">
        <v>37</v>
      </c>
      <c r="B5" s="1" t="s">
        <v>31</v>
      </c>
      <c r="C5" s="7">
        <v>200</v>
      </c>
      <c r="D5" s="1">
        <v>10</v>
      </c>
      <c r="E5" s="7">
        <f t="shared" ref="E5:E9" si="0">C5*D5</f>
        <v>2000</v>
      </c>
    </row>
    <row r="6" spans="1:10">
      <c r="A6" s="2" t="s">
        <v>24</v>
      </c>
      <c r="B6" s="1" t="s">
        <v>22</v>
      </c>
      <c r="C6" s="7">
        <v>400</v>
      </c>
      <c r="D6" s="1">
        <v>70</v>
      </c>
      <c r="E6" s="7">
        <f t="shared" si="0"/>
        <v>28000</v>
      </c>
      <c r="G6" s="13" t="s">
        <v>23</v>
      </c>
      <c r="I6" s="22" t="s">
        <v>38</v>
      </c>
      <c r="J6" s="23"/>
    </row>
    <row r="7" spans="1:10">
      <c r="A7" s="2" t="s">
        <v>24</v>
      </c>
      <c r="B7" s="1" t="s">
        <v>22</v>
      </c>
      <c r="C7" s="7">
        <v>400</v>
      </c>
      <c r="D7" s="1">
        <v>200</v>
      </c>
      <c r="E7" s="7">
        <f t="shared" si="0"/>
        <v>80000</v>
      </c>
      <c r="G7" s="1" t="s">
        <v>25</v>
      </c>
      <c r="I7" s="20" t="s">
        <v>39</v>
      </c>
      <c r="J7" s="21"/>
    </row>
    <row r="8" spans="1:10">
      <c r="A8" s="2"/>
      <c r="B8" s="1"/>
      <c r="C8" s="7"/>
      <c r="D8" s="1"/>
      <c r="E8" s="7">
        <f t="shared" si="0"/>
        <v>0</v>
      </c>
      <c r="G8" s="1" t="s">
        <v>26</v>
      </c>
    </row>
    <row r="9" spans="1:10">
      <c r="A9" s="2"/>
      <c r="B9" s="1"/>
      <c r="C9" s="7"/>
      <c r="D9" s="1"/>
      <c r="E9" s="7">
        <f t="shared" si="0"/>
        <v>0</v>
      </c>
      <c r="G9" s="1" t="s">
        <v>27</v>
      </c>
    </row>
    <row r="10" spans="1:10">
      <c r="G10" s="1" t="s">
        <v>28</v>
      </c>
    </row>
  </sheetData>
  <mergeCells count="3">
    <mergeCell ref="A1:E1"/>
    <mergeCell ref="I7:J7"/>
    <mergeCell ref="I6:J6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請求書発行">
                <anchor moveWithCells="1">
                  <from>
                    <xdr:col>8</xdr:col>
                    <xdr:colOff>171450</xdr:colOff>
                    <xdr:row>2</xdr:row>
                    <xdr:rowOff>66675</xdr:rowOff>
                  </from>
                  <to>
                    <xdr:col>10</xdr:col>
                    <xdr:colOff>95250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2B958-FDA9-4C8D-8382-558296ED3975}">
  <sheetPr codeName="Sheet4"/>
  <dimension ref="A1:A5"/>
  <sheetViews>
    <sheetView workbookViewId="0">
      <selection activeCell="E4" sqref="E4:E5"/>
    </sheetView>
  </sheetViews>
  <sheetFormatPr defaultRowHeight="18.75"/>
  <cols>
    <col min="1" max="1" width="28.25" customWidth="1"/>
  </cols>
  <sheetData>
    <row r="1" spans="1:1">
      <c r="A1" t="s">
        <v>15</v>
      </c>
    </row>
    <row r="2" spans="1:1">
      <c r="A2" t="s">
        <v>30</v>
      </c>
    </row>
    <row r="3" spans="1:1">
      <c r="A3" t="s">
        <v>32</v>
      </c>
    </row>
    <row r="4" spans="1:1">
      <c r="A4" t="s">
        <v>33</v>
      </c>
    </row>
    <row r="5" spans="1:1">
      <c r="A5" t="s">
        <v>35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71CCB-4477-48F0-9537-86F60CC85B9D}">
  <sheetPr codeName="Sheet3"/>
  <dimension ref="B1:G21"/>
  <sheetViews>
    <sheetView workbookViewId="0">
      <selection activeCell="K12" sqref="K12"/>
    </sheetView>
  </sheetViews>
  <sheetFormatPr defaultRowHeight="18.75"/>
  <cols>
    <col min="1" max="1" width="2" customWidth="1"/>
    <col min="5" max="5" width="17.75" customWidth="1"/>
    <col min="6" max="6" width="24" customWidth="1"/>
    <col min="7" max="7" width="14" customWidth="1"/>
  </cols>
  <sheetData>
    <row r="1" spans="2:7" ht="7.5" customHeight="1"/>
    <row r="2" spans="2:7" ht="30">
      <c r="B2" s="24" t="s">
        <v>13</v>
      </c>
      <c r="C2" s="24"/>
      <c r="D2" s="24"/>
      <c r="E2" s="24"/>
      <c r="F2" s="12" t="s">
        <v>12</v>
      </c>
    </row>
    <row r="3" spans="2:7">
      <c r="F3" s="12" t="s">
        <v>11</v>
      </c>
      <c r="G3" s="16">
        <v>44196</v>
      </c>
    </row>
    <row r="4" spans="2:7">
      <c r="E4" s="17"/>
    </row>
    <row r="5" spans="2:7">
      <c r="B5" s="25" t="s">
        <v>40</v>
      </c>
      <c r="C5" s="25"/>
      <c r="D5" s="25"/>
      <c r="E5" s="17"/>
    </row>
    <row r="6" spans="2:7">
      <c r="F6" t="s">
        <v>10</v>
      </c>
    </row>
    <row r="7" spans="2:7">
      <c r="F7" t="s">
        <v>9</v>
      </c>
    </row>
    <row r="9" spans="2:7">
      <c r="B9" s="26" t="s">
        <v>8</v>
      </c>
      <c r="C9" s="26"/>
      <c r="D9" s="26"/>
      <c r="E9" s="10" t="s">
        <v>7</v>
      </c>
      <c r="F9" s="10" t="s">
        <v>6</v>
      </c>
      <c r="G9" s="9" t="s">
        <v>5</v>
      </c>
    </row>
    <row r="10" spans="2:7">
      <c r="B10" s="27"/>
      <c r="C10" s="27"/>
      <c r="D10" s="27"/>
      <c r="E10" s="15"/>
      <c r="F10" s="1"/>
      <c r="G10" s="7" t="str">
        <f t="shared" ref="G10:G18" si="0">IF(F10="","",E10*F10)</f>
        <v/>
      </c>
    </row>
    <row r="11" spans="2:7">
      <c r="B11" s="27"/>
      <c r="C11" s="27"/>
      <c r="D11" s="27"/>
      <c r="E11" s="15"/>
      <c r="F11" s="1"/>
      <c r="G11" s="7" t="str">
        <f t="shared" si="0"/>
        <v/>
      </c>
    </row>
    <row r="12" spans="2:7">
      <c r="B12" s="27"/>
      <c r="C12" s="27"/>
      <c r="D12" s="27"/>
      <c r="E12" s="15"/>
      <c r="F12" s="1"/>
      <c r="G12" s="7" t="str">
        <f t="shared" si="0"/>
        <v/>
      </c>
    </row>
    <row r="13" spans="2:7">
      <c r="B13" s="27"/>
      <c r="C13" s="27"/>
      <c r="D13" s="27"/>
      <c r="E13" s="15"/>
      <c r="F13" s="1"/>
      <c r="G13" s="7" t="str">
        <f t="shared" si="0"/>
        <v/>
      </c>
    </row>
    <row r="14" spans="2:7">
      <c r="B14" s="27"/>
      <c r="C14" s="27"/>
      <c r="D14" s="27"/>
      <c r="E14" s="1"/>
      <c r="F14" s="1"/>
      <c r="G14" s="7" t="str">
        <f t="shared" si="0"/>
        <v/>
      </c>
    </row>
    <row r="15" spans="2:7">
      <c r="B15" s="27"/>
      <c r="C15" s="27"/>
      <c r="D15" s="27"/>
      <c r="E15" s="1"/>
      <c r="F15" s="1"/>
      <c r="G15" s="7" t="str">
        <f t="shared" si="0"/>
        <v/>
      </c>
    </row>
    <row r="16" spans="2:7">
      <c r="B16" s="27"/>
      <c r="C16" s="27"/>
      <c r="D16" s="27"/>
      <c r="E16" s="1"/>
      <c r="F16" s="1"/>
      <c r="G16" s="7" t="str">
        <f t="shared" si="0"/>
        <v/>
      </c>
    </row>
    <row r="17" spans="2:7">
      <c r="B17" s="27"/>
      <c r="C17" s="27"/>
      <c r="D17" s="27"/>
      <c r="E17" s="1"/>
      <c r="F17" s="1"/>
      <c r="G17" s="7" t="str">
        <f t="shared" si="0"/>
        <v/>
      </c>
    </row>
    <row r="18" spans="2:7">
      <c r="B18" s="27"/>
      <c r="C18" s="27"/>
      <c r="D18" s="27"/>
      <c r="E18" s="1"/>
      <c r="F18" s="1"/>
      <c r="G18" s="7" t="str">
        <f t="shared" si="0"/>
        <v/>
      </c>
    </row>
    <row r="19" spans="2:7">
      <c r="B19" s="28"/>
      <c r="C19" s="28"/>
      <c r="D19" s="28"/>
      <c r="F19" s="5" t="s">
        <v>4</v>
      </c>
      <c r="G19" s="1">
        <f>SUM(G10:G17)</f>
        <v>0</v>
      </c>
    </row>
    <row r="20" spans="2:7">
      <c r="F20" s="3" t="s">
        <v>3</v>
      </c>
      <c r="G20" s="4">
        <v>0.1</v>
      </c>
    </row>
    <row r="21" spans="2:7">
      <c r="F21" s="3" t="s">
        <v>2</v>
      </c>
      <c r="G21" s="1">
        <f>G19*(1+G20)</f>
        <v>0</v>
      </c>
    </row>
  </sheetData>
  <mergeCells count="13">
    <mergeCell ref="B19:D19"/>
    <mergeCell ref="B10:D10"/>
    <mergeCell ref="B18:D18"/>
    <mergeCell ref="B13:D13"/>
    <mergeCell ref="B14:D14"/>
    <mergeCell ref="B15:D15"/>
    <mergeCell ref="B16:D16"/>
    <mergeCell ref="B17:D17"/>
    <mergeCell ref="B2:E2"/>
    <mergeCell ref="B5:D5"/>
    <mergeCell ref="B9:D9"/>
    <mergeCell ref="B11:D11"/>
    <mergeCell ref="B12:D12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CC0C-780E-4F69-BCF0-F17FD7651279}">
  <sheetPr codeName="Sheet5"/>
  <dimension ref="B1:G1048569"/>
  <sheetViews>
    <sheetView tabSelected="1" workbookViewId="0">
      <selection activeCell="K12" sqref="K12"/>
    </sheetView>
  </sheetViews>
  <sheetFormatPr defaultRowHeight="18.75"/>
  <cols>
    <col min="1" max="1" width="2" style="6" customWidth="1"/>
    <col min="2" max="4" width="9" style="6"/>
    <col min="5" max="5" width="17.75" style="6" customWidth="1"/>
    <col min="6" max="6" width="24" style="6" customWidth="1"/>
    <col min="7" max="7" width="14" style="6" customWidth="1"/>
    <col min="8" max="16384" width="9" style="6"/>
  </cols>
  <sheetData>
    <row r="1" spans="2:7" ht="7.5" customHeight="1"/>
    <row r="2" spans="2:7" ht="30">
      <c r="B2" s="24" t="s">
        <v>13</v>
      </c>
      <c r="C2" s="24"/>
      <c r="D2" s="24"/>
      <c r="E2" s="24"/>
      <c r="F2" s="12" t="s">
        <v>12</v>
      </c>
    </row>
    <row r="3" spans="2:7">
      <c r="F3" s="12" t="s">
        <v>11</v>
      </c>
      <c r="G3" s="16">
        <v>44196</v>
      </c>
    </row>
    <row r="4" spans="2:7">
      <c r="E4" s="17"/>
    </row>
    <row r="5" spans="2:7">
      <c r="B5" s="25" t="s">
        <v>40</v>
      </c>
      <c r="C5" s="25"/>
      <c r="D5" s="25"/>
      <c r="E5" s="17"/>
    </row>
    <row r="6" spans="2:7">
      <c r="F6" s="6" t="s">
        <v>10</v>
      </c>
    </row>
    <row r="7" spans="2:7">
      <c r="F7" s="6" t="s">
        <v>9</v>
      </c>
    </row>
    <row r="9" spans="2:7">
      <c r="B9" s="26" t="s">
        <v>8</v>
      </c>
      <c r="C9" s="26"/>
      <c r="D9" s="26"/>
      <c r="E9" s="10" t="s">
        <v>7</v>
      </c>
      <c r="F9" s="10" t="s">
        <v>6</v>
      </c>
      <c r="G9" s="11" t="s">
        <v>5</v>
      </c>
    </row>
    <row r="10" spans="2:7">
      <c r="B10" s="27" t="s">
        <v>34</v>
      </c>
      <c r="C10" s="27"/>
      <c r="D10" s="27"/>
      <c r="E10" s="15">
        <v>20</v>
      </c>
      <c r="F10" s="8">
        <v>100</v>
      </c>
      <c r="G10" s="7">
        <f t="shared" ref="G10:G18" si="0">IF(F10="","",E10*F10)</f>
        <v>2000</v>
      </c>
    </row>
    <row r="11" spans="2:7">
      <c r="B11" s="27" t="s">
        <v>31</v>
      </c>
      <c r="C11" s="27"/>
      <c r="D11" s="27"/>
      <c r="E11" s="15">
        <v>200</v>
      </c>
      <c r="F11" s="8">
        <v>10</v>
      </c>
      <c r="G11" s="7">
        <f t="shared" si="0"/>
        <v>2000</v>
      </c>
    </row>
    <row r="12" spans="2:7">
      <c r="B12" s="27" t="s">
        <v>22</v>
      </c>
      <c r="C12" s="27"/>
      <c r="D12" s="27"/>
      <c r="E12" s="15">
        <v>400</v>
      </c>
      <c r="F12" s="8">
        <v>70</v>
      </c>
      <c r="G12" s="7">
        <f t="shared" si="0"/>
        <v>28000</v>
      </c>
    </row>
    <row r="13" spans="2:7">
      <c r="B13" s="27" t="s">
        <v>22</v>
      </c>
      <c r="C13" s="27"/>
      <c r="D13" s="27"/>
      <c r="E13" s="15">
        <v>400</v>
      </c>
      <c r="F13" s="8">
        <v>200</v>
      </c>
      <c r="G13" s="7">
        <f t="shared" si="0"/>
        <v>80000</v>
      </c>
    </row>
    <row r="14" spans="2:7">
      <c r="B14" s="27"/>
      <c r="C14" s="27"/>
      <c r="D14" s="27"/>
      <c r="E14" s="8"/>
      <c r="F14" s="8"/>
      <c r="G14" s="7" t="str">
        <f t="shared" si="0"/>
        <v/>
      </c>
    </row>
    <row r="15" spans="2:7">
      <c r="B15" s="27"/>
      <c r="C15" s="27"/>
      <c r="D15" s="27"/>
      <c r="E15" s="8"/>
      <c r="F15" s="8"/>
      <c r="G15" s="7" t="str">
        <f t="shared" si="0"/>
        <v/>
      </c>
    </row>
    <row r="16" spans="2:7">
      <c r="B16" s="27"/>
      <c r="C16" s="27"/>
      <c r="D16" s="27"/>
      <c r="E16" s="8"/>
      <c r="F16" s="8"/>
      <c r="G16" s="7" t="str">
        <f t="shared" si="0"/>
        <v/>
      </c>
    </row>
    <row r="17" spans="2:7">
      <c r="B17" s="27"/>
      <c r="C17" s="27"/>
      <c r="D17" s="27"/>
      <c r="E17" s="8"/>
      <c r="F17" s="8"/>
      <c r="G17" s="7" t="str">
        <f t="shared" si="0"/>
        <v/>
      </c>
    </row>
    <row r="18" spans="2:7">
      <c r="B18" s="27"/>
      <c r="C18" s="27"/>
      <c r="D18" s="27"/>
      <c r="E18" s="8"/>
      <c r="F18" s="8"/>
      <c r="G18" s="7" t="str">
        <f t="shared" si="0"/>
        <v/>
      </c>
    </row>
    <row r="19" spans="2:7">
      <c r="B19" s="28"/>
      <c r="C19" s="28"/>
      <c r="D19" s="28"/>
      <c r="F19" s="5" t="s">
        <v>4</v>
      </c>
      <c r="G19" s="8">
        <f>SUM(G10:G17)</f>
        <v>112000</v>
      </c>
    </row>
    <row r="20" spans="2:7">
      <c r="F20" s="3" t="s">
        <v>3</v>
      </c>
      <c r="G20" s="4">
        <v>0.1</v>
      </c>
    </row>
    <row r="21" spans="2:7">
      <c r="F21" s="3" t="s">
        <v>2</v>
      </c>
      <c r="G21" s="8">
        <f>G19*(1+G20)</f>
        <v>123200.00000000001</v>
      </c>
    </row>
    <row r="1048569" spans="2:2">
      <c r="B1048569" s="6" t="s">
        <v>41</v>
      </c>
    </row>
  </sheetData>
  <mergeCells count="13">
    <mergeCell ref="B19:D19"/>
    <mergeCell ref="B13:D13"/>
    <mergeCell ref="B14:D14"/>
    <mergeCell ref="B15:D15"/>
    <mergeCell ref="B16:D16"/>
    <mergeCell ref="B17:D17"/>
    <mergeCell ref="B18:D18"/>
    <mergeCell ref="B2:E2"/>
    <mergeCell ref="B5:D5"/>
    <mergeCell ref="B9:D9"/>
    <mergeCell ref="B10:D10"/>
    <mergeCell ref="B11:D11"/>
    <mergeCell ref="B12:D12"/>
  </mergeCells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登録</vt:lpstr>
      <vt:lpstr>一覧</vt:lpstr>
      <vt:lpstr>商品</vt:lpstr>
      <vt:lpstr>雛形</vt:lpstr>
      <vt:lpstr>株式会社A</vt:lpstr>
      <vt:lpstr>株式会社A!商品</vt:lpstr>
      <vt:lpstr>商品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2020-12-30T16:05:34Z</dcterms:modified>
</cp:coreProperties>
</file>